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Test Data" sheetId="2" state="visible" r:id="rId4"/>
    <sheet name="Tổng hợp" sheetId="3" state="visible" r:id="rId5"/>
  </sheets>
  <definedNames>
    <definedName function="false" hidden="true" localSheetId="0" name="_xlnm._FilterDatabase" vbProcedure="false">'Test Cases'!$A$1:$M$23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<sst xmlns="http://schemas.openxmlformats.org/spreadsheetml/2006/main" count="291" uniqueCount="189">
  <si>
    <t xml:space="preserve">Test Case ID</t>
  </si>
  <si>
    <t xml:space="preserve">Nhóm chức năng</t>
  </si>
  <si>
    <t xml:space="preserve">Tiêu đề test case</t>
  </si>
  <si>
    <t xml:space="preserve">Loại</t>
  </si>
  <si>
    <t xml:space="preserve">Độ ưu tiên</t>
  </si>
  <si>
    <t xml:space="preserve">Điều kiện tiên quyết</t>
  </si>
  <si>
    <t xml:space="preserve">Các bước thực hiện</t>
  </si>
  <si>
    <t xml:space="preserve">Dữ liệu test</t>
  </si>
  <si>
    <t xml:space="preserve">Kết quả mong đợi</t>
  </si>
  <si>
    <t xml:space="preserve">Gợi ý Selenium</t>
  </si>
  <si>
    <t xml:space="preserve">Kết quả thực tế</t>
  </si>
  <si>
    <t xml:space="preserve">Trạng thái</t>
  </si>
  <si>
    <t xml:space="preserve">Ghi chú</t>
  </si>
  <si>
    <t xml:space="preserve">TC_LOGIN_01</t>
  </si>
  <si>
    <t xml:space="preserve">Giao diện</t>
  </si>
  <si>
    <t xml:space="preserve">Kiểm tra hiển thị đầy đủ các thành phần trên trang đăng nhập</t>
  </si>
  <si>
    <t xml:space="preserve">UI</t>
  </si>
  <si>
    <t xml:space="preserve">Cao</t>
  </si>
  <si>
    <t xml:space="preserve">Trình duyệt Chrome mở được</t>
  </si>
  <si>
    <t xml:space="preserve">1. Mở URL trang đăng nhập
2. Quan sát giao diện</t>
  </si>
  <si>
    <t xml:space="preserve">URL: https://vanphongdientu.utc.edu.vn/Login</t>
  </si>
  <si>
    <t xml:space="preserve">Hiển thị: banner 'Đường đến thành công', nhãn 'Tài khoản văn phòng điện tử', ô 'Tên đăng nhập', ô 'Mật khẩu', checkbox 'Giữ tôi luôn đăng nhập', nút 'Đăng nhập bằng e-mail UTC', nút 'Đăng nhập', link 'Bạn quên mật khẩu đăng nhập ?', footer 'Trường ĐH Giao Thông Vận Tải © 2026'</t>
  </si>
  <si>
    <t xml:space="preserve">Dùng is_displayed() cho từng phần tử</t>
  </si>
  <si>
    <t xml:space="preserve">Not Run</t>
  </si>
  <si>
    <t xml:space="preserve">TC_LOGIN_02</t>
  </si>
  <si>
    <t xml:space="preserve">Kiểm tra URL và tiêu đề (title) của trang</t>
  </si>
  <si>
    <t xml:space="preserve">Trung bình</t>
  </si>
  <si>
    <t xml:space="preserve">Không</t>
  </si>
  <si>
    <t xml:space="preserve">1. Mở URL trang đăng nhập
2. Đọc driver.current_url và driver.title</t>
  </si>
  <si>
    <t xml:space="preserve">Trang tải thành công (HTTP 200), URL chứa '/Login', title không rỗng, không có lỗi chứng chỉ SSL</t>
  </si>
  <si>
    <t xml:space="preserve">assert 'Login' in driver.current_url</t>
  </si>
  <si>
    <t xml:space="preserve">TC_LOGIN_03</t>
  </si>
  <si>
    <t xml:space="preserve">Kiểm tra placeholder của các ô nhập liệu</t>
  </si>
  <si>
    <t xml:space="preserve">Thấp</t>
  </si>
  <si>
    <t xml:space="preserve">Đang ở trang đăng nhập</t>
  </si>
  <si>
    <t xml:space="preserve">1. Quan sát ô Tên đăng nhập
2. Quan sát ô Mật khẩu</t>
  </si>
  <si>
    <t xml:space="preserve">Ô tài khoản hiển thị placeholder 'Tên đăng nhập'; ô mật khẩu hiển thị placeholder 'Mật khẩu'; placeholder biến mất khi nhập</t>
  </si>
  <si>
    <t xml:space="preserve">get_attribute('placeholder')</t>
  </si>
  <si>
    <t xml:space="preserve">TC_LOGIN_04</t>
  </si>
  <si>
    <t xml:space="preserve">Chức năng</t>
  </si>
  <si>
    <t xml:space="preserve">Đăng nhập thành công với tài khoản và mật khẩu hợp lệ</t>
  </si>
  <si>
    <t xml:space="preserve">Positive</t>
  </si>
  <si>
    <t xml:space="preserve">Có tài khoản hợp lệ, đang ở trang đăng nhập</t>
  </si>
  <si>
    <t xml:space="preserve">1. Nhập tên đăng nhập hợp lệ
2. Nhập mật khẩu hợp lệ
3. Nhấn nút 'Đăng nhập'</t>
  </si>
  <si>
    <t xml:space="preserve">Username: {VALID_USER}
Password: {VALID_PASS}</t>
  </si>
  <si>
    <t xml:space="preserve">Đăng nhập thành công, chuyển hướng về https://vanphongdientu.utc.edu.vn/ (tham số r=), không còn ở trang Login, hiển thị thông tin người dùng</t>
  </si>
  <si>
    <t xml:space="preserve">WebDriverWait url_changes / not contains 'Login'</t>
  </si>
  <si>
    <t xml:space="preserve">TC_LOGIN_05</t>
  </si>
  <si>
    <t xml:space="preserve">Đăng nhập với tên đăng nhập đúng, mật khẩu sai</t>
  </si>
  <si>
    <t xml:space="preserve">Negative</t>
  </si>
  <si>
    <t xml:space="preserve">Có tài khoản hợp lệ</t>
  </si>
  <si>
    <t xml:space="preserve">1. Nhập tên đăng nhập đúng
2. Nhập mật khẩu sai
3. Nhấn 'Đăng nhập'</t>
  </si>
  <si>
    <t xml:space="preserve">Username: {VALID_USER}
Password: Sai@12345</t>
  </si>
  <si>
    <t xml:space="preserve">Không đăng nhập được, ở lại trang Login, hiển thị thông báo lỗi sai thông tin đăng nhập</t>
  </si>
  <si>
    <t xml:space="preserve">Kiểm tra url vẫn chứa 'Login' + element thông báo lỗi</t>
  </si>
  <si>
    <t xml:space="preserve">TC_LOGIN_06</t>
  </si>
  <si>
    <t xml:space="preserve">Đăng nhập với tên đăng nhập sai, mật khẩu đúng</t>
  </si>
  <si>
    <t xml:space="preserve">1. Nhập tên đăng nhập không tồn tại
2. Nhập mật khẩu bất kỳ
3. Nhấn 'Đăng nhập'</t>
  </si>
  <si>
    <t xml:space="preserve">Username: user_khong_ton_tai
Password: {VALID_PASS}</t>
  </si>
  <si>
    <t xml:space="preserve">Không đăng nhập được, hiển thị thông báo lỗi; thông báo không tiết lộ tài khoản có tồn tại hay không</t>
  </si>
  <si>
    <t xml:space="preserve">như TC_05</t>
  </si>
  <si>
    <t xml:space="preserve">TC_LOGIN_07</t>
  </si>
  <si>
    <t xml:space="preserve">Đăng nhập khi để trống cả tên đăng nhập và mật khẩu</t>
  </si>
  <si>
    <t xml:space="preserve">1. Để trống 2 ô
2. Nhấn 'Đăng nhập'</t>
  </si>
  <si>
    <t xml:space="preserve">Username: (rỗng)
Password: (rỗng)</t>
  </si>
  <si>
    <t xml:space="preserve">Không đăng nhập được, hiển thị cảnh báo yêu cầu nhập thông tin (hoặc thông báo lỗi), ở lại trang Login</t>
  </si>
  <si>
    <t xml:space="preserve">Có thể là HTML5 validation: get_attribute('validationMessage')</t>
  </si>
  <si>
    <t xml:space="preserve">TC_LOGIN_08</t>
  </si>
  <si>
    <t xml:space="preserve">Đăng nhập khi để trống tên đăng nhập, nhập mật khẩu</t>
  </si>
  <si>
    <t xml:space="preserve">1. Bỏ trống Tên đăng nhập
2. Nhập mật khẩu
3. Nhấn 'Đăng nhập'</t>
  </si>
  <si>
    <t xml:space="preserve">Username: (rỗng)
Password: {VALID_PASS}</t>
  </si>
  <si>
    <t xml:space="preserve">Không đăng nhập được, có thông báo yêu cầu nhập tên đăng nhập</t>
  </si>
  <si>
    <t xml:space="preserve">như TC_07</t>
  </si>
  <si>
    <t xml:space="preserve">TC_LOGIN_09</t>
  </si>
  <si>
    <t xml:space="preserve">Đăng nhập khi nhập tên đăng nhập, để trống mật khẩu</t>
  </si>
  <si>
    <t xml:space="preserve">1. Nhập Tên đăng nhập
2. Bỏ trống Mật khẩu
3. Nhấn 'Đăng nhập'</t>
  </si>
  <si>
    <t xml:space="preserve">Username: {VALID_USER}
Password: (rỗng)</t>
  </si>
  <si>
    <t xml:space="preserve">Không đăng nhập được, có thông báo yêu cầu nhập mật khẩu</t>
  </si>
  <si>
    <t xml:space="preserve">TC_LOGIN_10</t>
  </si>
  <si>
    <t xml:space="preserve">Bảo mật</t>
  </si>
  <si>
    <t xml:space="preserve">Ô mật khẩu che ký tự nhập vào</t>
  </si>
  <si>
    <t xml:space="preserve">Security</t>
  </si>
  <si>
    <t xml:space="preserve">1. Nhập mật khẩu vào ô Mật khẩu
2. Quan sát hiển thị</t>
  </si>
  <si>
    <t xml:space="preserve">Password: Abc@12345</t>
  </si>
  <si>
    <t xml:space="preserve">Ký tự hiển thị dạng dấu chấm/sao; thuộc tính type của ô là 'password'</t>
  </si>
  <si>
    <t xml:space="preserve">get_attribute('type') == 'password'</t>
  </si>
  <si>
    <t xml:space="preserve">TC_LOGIN_11</t>
  </si>
  <si>
    <t xml:space="preserve">Đăng nhập bằng phím Enter</t>
  </si>
  <si>
    <t xml:space="preserve">1. Nhập tên đăng nhập hợp lệ
2. Nhập mật khẩu hợp lệ
3. Nhấn phím Enter tại ô mật khẩu</t>
  </si>
  <si>
    <t xml:space="preserve">Hệ thống thực hiện đăng nhập thành công như khi nhấn nút 'Đăng nhập'</t>
  </si>
  <si>
    <t xml:space="preserve">send_keys(Keys.ENTER)</t>
  </si>
  <si>
    <t xml:space="preserve">TC_LOGIN_12</t>
  </si>
  <si>
    <t xml:space="preserve">Tên đăng nhập có khoảng trắng ở đầu/cuối</t>
  </si>
  <si>
    <t xml:space="preserve">Boundary</t>
  </si>
  <si>
    <t xml:space="preserve">1. Nhập tên đăng nhập có khoảng trắng đầu và cuối
2. Nhập mật khẩu đúng
3. Nhấn 'Đăng nhập'</t>
  </si>
  <si>
    <t xml:space="preserve">Username: '  {VALID_USER}  '
Password: {VALID_PASS}</t>
  </si>
  <si>
    <t xml:space="preserve">Ghi nhận hành vi thực tế: hệ thống tự cắt khoảng trắng và đăng nhập thành công, hoặc báo lỗi rõ ràng; không phát sinh lỗi hệ thống (500)</t>
  </si>
  <si>
    <t xml:space="preserve">Xác nhận hành vi với yêu cầu nghiệp vụ</t>
  </si>
  <si>
    <t xml:space="preserve">TC_LOGIN_13</t>
  </si>
  <si>
    <t xml:space="preserve">Mật khẩu phân biệt chữ hoa, chữ thường</t>
  </si>
  <si>
    <t xml:space="preserve">1. Nhập tên đăng nhập đúng
2. Nhập mật khẩu đổi hoa/thường so với mật khẩu thật
3. Nhấn 'Đăng nhập'</t>
  </si>
  <si>
    <t xml:space="preserve">Username: {VALID_USER}
Password: {VALID_PASS} (đảo hoa/thường)</t>
  </si>
  <si>
    <t xml:space="preserve">Đăng nhập thất bại, hiển thị thông báo lỗi</t>
  </si>
  <si>
    <t xml:space="preserve">Dùng password.swapcase()</t>
  </si>
  <si>
    <t xml:space="preserve">TC_LOGIN_14</t>
  </si>
  <si>
    <t xml:space="preserve">Chống SQL Injection ở ô tên đăng nhập</t>
  </si>
  <si>
    <t xml:space="preserve">1. Nhập chuỗi SQL injection vào Tên đăng nhập
2. Nhập mật khẩu bất kỳ
3. Nhấn 'Đăng nhập'</t>
  </si>
  <si>
    <t xml:space="preserve">Username: ' OR '1'='1' --
Password: abc</t>
  </si>
  <si>
    <t xml:space="preserve">Không đăng nhập được, không lộ lỗi SQL/stack trace, hệ thống xử lý như thông tin sai bình thường</t>
  </si>
  <si>
    <t xml:space="preserve">Chỉ test trên môi trường được phép</t>
  </si>
  <si>
    <t xml:space="preserve">TC_LOGIN_15</t>
  </si>
  <si>
    <t xml:space="preserve">Chống XSS ở ô tên đăng nhập</t>
  </si>
  <si>
    <t xml:space="preserve">1. Nhập script vào Tên đăng nhập
2. Nhập mật khẩu bất kỳ
3. Nhấn 'Đăng nhập'</t>
  </si>
  <si>
    <t xml:space="preserve">Username: &lt;script&gt;alert('xss')&lt;/script&gt;
Password: abc</t>
  </si>
  <si>
    <t xml:space="preserve">Không hiển thị hộp thoại alert, nội dung được mã hóa/lọc, đăng nhập thất bại bình thường</t>
  </si>
  <si>
    <t xml:space="preserve">Kiểm tra NoAlertPresentException</t>
  </si>
  <si>
    <t xml:space="preserve">TC_LOGIN_16</t>
  </si>
  <si>
    <t xml:space="preserve">Biên</t>
  </si>
  <si>
    <t xml:space="preserve">Nhập chuỗi rất dài vào tên đăng nhập và mật khẩu</t>
  </si>
  <si>
    <t xml:space="preserve">1. Nhập 500 ký tự vào Tên đăng nhập
2. Nhập 500 ký tự vào Mật khẩu
3. Nhấn 'Đăng nhập'</t>
  </si>
  <si>
    <t xml:space="preserve">Username: 'a' x 500
Password: 'b' x 500</t>
  </si>
  <si>
    <t xml:space="preserve">Hệ thống không bị treo/lỗi 500, đăng nhập thất bại và hiển thị thông báo lỗi (hoặc giới hạn độ dài)</t>
  </si>
  <si>
    <t xml:space="preserve">'a'*500</t>
  </si>
  <si>
    <t xml:space="preserve">TC_LOGIN_17</t>
  </si>
  <si>
    <t xml:space="preserve">Checkbox 'Giữ tôi luôn đăng nhập' tích chọn/bỏ chọn được</t>
  </si>
  <si>
    <t xml:space="preserve">1. Kiểm tra trạng thái mặc định của checkbox
2. Click vào checkbox
3. Click lần nữa</t>
  </si>
  <si>
    <t xml:space="preserve">Mặc định không tích; click lần 1 -&gt; được chọn; click lần 2 -&gt; bỏ chọn</t>
  </si>
  <si>
    <t xml:space="preserve">is_selected()</t>
  </si>
  <si>
    <t xml:space="preserve">TC_LOGIN_18</t>
  </si>
  <si>
    <t xml:space="preserve">Đăng nhập với 'Giữ tôi luôn đăng nhập' và kiểm tra duy trì phiên</t>
  </si>
  <si>
    <t xml:space="preserve">1. Nhập tài khoản hợp lệ
2. Tích 'Giữ tôi luôn đăng nhập'
3. Nhấn 'Đăng nhập'
4. Lưu cookie, mở lại trình duyệt/phiên mới nạp cookie, truy cập lại trang chủ</t>
  </si>
  <si>
    <t xml:space="preserve">Đăng nhập thành công; cookie phiên có thời hạn dài hơn phiên thường; mở lại vẫn ở trạng thái đăng nhập</t>
  </si>
  <si>
    <t xml:space="preserve">driver.get_cookies() / add_cookie()</t>
  </si>
  <si>
    <t xml:space="preserve">TC_LOGIN_19</t>
  </si>
  <si>
    <t xml:space="preserve">Điều hướng</t>
  </si>
  <si>
    <t xml:space="preserve">Link 'Bạn quên mật khẩu đăng nhập ?' hoạt động</t>
  </si>
  <si>
    <t xml:space="preserve">Navigation</t>
  </si>
  <si>
    <t xml:space="preserve">1. Click link 'Bạn quên mật khẩu đăng nhập ?'</t>
  </si>
  <si>
    <t xml:space="preserve">Chuyển đến trang/chức năng khôi phục mật khẩu, không lỗi 404/500</t>
  </si>
  <si>
    <t xml:space="preserve">find_element(By.LINK_TEXT / PARTIAL_LINK_TEXT)</t>
  </si>
  <si>
    <t xml:space="preserve">TC_LOGIN_20</t>
  </si>
  <si>
    <t xml:space="preserve">Nút 'Đăng nhập bằng e-mail UTC' hoạt động</t>
  </si>
  <si>
    <t xml:space="preserve">1. Click 'Đăng nhập bằng e-mail UTC'</t>
  </si>
  <si>
    <t xml:space="preserve">Chuyển hướng sang trang xác thực email UTC (SSO), không lỗi; có thể quay lại trang Login</t>
  </si>
  <si>
    <t xml:space="preserve">Chú ý chuyển cửa sổ/tab: window_handles</t>
  </si>
  <si>
    <t xml:space="preserve">TC_LOGIN_21</t>
  </si>
  <si>
    <t xml:space="preserve">Link footer 'Trung tâm trợ giúp' và 'Ý kiến phản hồi'</t>
  </si>
  <si>
    <t xml:space="preserve">1. Click 'Trung tâm trợ giúp'
2. Quay lại, click 'Ý kiến phản hồi'</t>
  </si>
  <si>
    <t xml:space="preserve">Mỗi link mở đúng trang tương ứng, không lỗi 404/500</t>
  </si>
  <si>
    <t xml:space="preserve">Kiểm tra status/URL sau click</t>
  </si>
  <si>
    <t xml:space="preserve">TC_LOGIN_22</t>
  </si>
  <si>
    <t xml:space="preserve">Thứ tự di chuyển bằng phím Tab</t>
  </si>
  <si>
    <t xml:space="preserve">1. Click vào ô Tên đăng nhập
2. Nhấn Tab lần lượt</t>
  </si>
  <si>
    <t xml:space="preserve">Focus theo thứ tự: Tên đăng nhập -&gt; Mật khẩu -&gt; Checkbox -&gt; Đăng nhập bằng e-mail UTC -&gt; Nút Đăng nhập -&gt; Link quên mật khẩu</t>
  </si>
  <si>
    <t xml:space="preserve">driver.switch_to.active_element</t>
  </si>
  <si>
    <t xml:space="preserve">Biến</t>
  </si>
  <si>
    <t xml:space="preserve">Giá trị</t>
  </si>
  <si>
    <t xml:space="preserve">Mô tả</t>
  </si>
  <si>
    <t xml:space="preserve">BASE_URL</t>
  </si>
  <si>
    <t xml:space="preserve">https://vanphongdientu.utc.edu.vn/Login</t>
  </si>
  <si>
    <t xml:space="preserve">Trang đăng nhập (tham số r= là URL chuyển hướng sau login)</t>
  </si>
  <si>
    <t xml:space="preserve">VALID_USER</t>
  </si>
  <si>
    <t xml:space="preserve">&lt;điền tài khoản thật của bạn&gt;</t>
  </si>
  <si>
    <t xml:space="preserve">Tài khoản hợp lệ dùng cho TC_04, 05, 11, 12, 13, 18</t>
  </si>
  <si>
    <t xml:space="preserve">VALID_PASS</t>
  </si>
  <si>
    <t xml:space="preserve">&lt;điền mật khẩu thật của bạn&gt;</t>
  </si>
  <si>
    <t xml:space="preserve">Mật khẩu hợp lệ. Không commit vào Git</t>
  </si>
  <si>
    <t xml:space="preserve">INVALID_USER</t>
  </si>
  <si>
    <t xml:space="preserve">user_khong_ton_tai</t>
  </si>
  <si>
    <t xml:space="preserve">Tài khoản không tồn tại</t>
  </si>
  <si>
    <t xml:space="preserve">INVALID_PASS</t>
  </si>
  <si>
    <t xml:space="preserve">Sai@12345</t>
  </si>
  <si>
    <t xml:space="preserve">Mật khẩu sai</t>
  </si>
  <si>
    <t xml:space="preserve">SQLI</t>
  </si>
  <si>
    <t xml:space="preserve">' OR '1'='1' --</t>
  </si>
  <si>
    <t xml:space="preserve">Payload SQL injection</t>
  </si>
  <si>
    <t xml:space="preserve">XSS</t>
  </si>
  <si>
    <t xml:space="preserve">&lt;script&gt;alert('xss')&lt;/script&gt;</t>
  </si>
  <si>
    <t xml:space="preserve">Payload XSS</t>
  </si>
  <si>
    <t xml:space="preserve">LONG_STR</t>
  </si>
  <si>
    <t xml:space="preserve">'a' * 500</t>
  </si>
  <si>
    <t xml:space="preserve">Chuỗi dài 500 ký tự</t>
  </si>
  <si>
    <t xml:space="preserve">Chỉ số</t>
  </si>
  <si>
    <t xml:space="preserve">Tổng số test case</t>
  </si>
  <si>
    <t xml:space="preserve">Pass</t>
  </si>
  <si>
    <t xml:space="preserve">Fail</t>
  </si>
  <si>
    <t xml:space="preserve">Blocked</t>
  </si>
  <si>
    <t xml:space="preserve">Tỷ lệ Pass</t>
  </si>
  <si>
    <t xml:space="preserve">Ghi chú: Kết quả mong đợi về nội dung thông báo lỗi là giả định theo hành vi thông thường; hãy đối chiếu với trang thực tế (thông báo, locator) khi viết Selenium.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</si>
</sst>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"/>
    <col collapsed="false" customWidth="true" hidden="false" outlineLevel="0" max="3" min="3" style="0" width="38"/>
    <col collapsed="false" customWidth="true" hidden="false" outlineLevel="0" max="5" min="4" style="0" width="11"/>
    <col collapsed="false" customWidth="true" hidden="false" outlineLevel="0" max="6" min="6" style="0" width="26"/>
    <col collapsed="false" customWidth="true" hidden="false" outlineLevel="0" max="7" min="7" style="0" width="44"/>
    <col collapsed="false" customWidth="true" hidden="false" outlineLevel="0" max="8" min="8" style="0" width="30"/>
    <col collapsed="false" customWidth="true" hidden="false" outlineLevel="0" max="9" min="9" style="0" width="52"/>
    <col collapsed="false" customWidth="true" hidden="false" outlineLevel="0" max="10" min="10" style="0" width="30"/>
    <col collapsed="false" customWidth="true" hidden="false" outlineLevel="0" max="11" min="11" style="0" width="24"/>
    <col collapsed="false" customWidth="true" hidden="false" outlineLevel="0" max="12" min="12" style="0" width="12"/>
    <col collapsed="false" customWidth="true" hidden="false" outlineLevel="0" max="13" min="13" style="0" width="2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57.45" hidden="false" customHeight="fals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/>
      <c r="L2" s="2" t="s">
        <v>23</v>
      </c>
      <c r="M2" s="2"/>
    </row>
    <row r="3" customFormat="false" ht="35.05" hidden="false" customHeight="false" outlineLevel="0" collapsed="false">
      <c r="A3" s="2" t="s">
        <v>24</v>
      </c>
      <c r="B3" s="2" t="s">
        <v>14</v>
      </c>
      <c r="C3" s="2" t="s">
        <v>25</v>
      </c>
      <c r="D3" s="2" t="s">
        <v>16</v>
      </c>
      <c r="E3" s="2" t="s">
        <v>26</v>
      </c>
      <c r="F3" s="2" t="s">
        <v>27</v>
      </c>
      <c r="G3" s="2" t="s">
        <v>28</v>
      </c>
      <c r="H3" s="2" t="s">
        <v>20</v>
      </c>
      <c r="I3" s="2" t="s">
        <v>29</v>
      </c>
      <c r="J3" s="2" t="s">
        <v>30</v>
      </c>
      <c r="K3" s="2"/>
      <c r="L3" s="2" t="s">
        <v>23</v>
      </c>
      <c r="M3" s="2"/>
    </row>
    <row r="4" customFormat="false" ht="23.85" hidden="false" customHeight="false" outlineLevel="0" collapsed="false">
      <c r="A4" s="2" t="s">
        <v>31</v>
      </c>
      <c r="B4" s="2" t="s">
        <v>14</v>
      </c>
      <c r="C4" s="2" t="s">
        <v>32</v>
      </c>
      <c r="D4" s="2" t="s">
        <v>16</v>
      </c>
      <c r="E4" s="2" t="s">
        <v>33</v>
      </c>
      <c r="F4" s="2" t="s">
        <v>34</v>
      </c>
      <c r="G4" s="2" t="s">
        <v>35</v>
      </c>
      <c r="H4" s="2" t="s">
        <v>27</v>
      </c>
      <c r="I4" s="2" t="s">
        <v>36</v>
      </c>
      <c r="J4" s="2" t="s">
        <v>37</v>
      </c>
      <c r="K4" s="2"/>
      <c r="L4" s="2" t="s">
        <v>23</v>
      </c>
      <c r="M4" s="2"/>
    </row>
    <row r="5" customFormat="false" ht="35.05" hidden="false" customHeight="false" outlineLevel="0" collapsed="false">
      <c r="A5" s="2" t="s">
        <v>38</v>
      </c>
      <c r="B5" s="2" t="s">
        <v>39</v>
      </c>
      <c r="C5" s="2" t="s">
        <v>40</v>
      </c>
      <c r="D5" s="2" t="s">
        <v>41</v>
      </c>
      <c r="E5" s="2" t="s">
        <v>17</v>
      </c>
      <c r="F5" s="2" t="s">
        <v>42</v>
      </c>
      <c r="G5" s="2" t="s">
        <v>43</v>
      </c>
      <c r="H5" s="2" t="s">
        <v>44</v>
      </c>
      <c r="I5" s="2" t="s">
        <v>45</v>
      </c>
      <c r="J5" s="2" t="s">
        <v>46</v>
      </c>
      <c r="K5" s="2"/>
      <c r="L5" s="2" t="s">
        <v>23</v>
      </c>
      <c r="M5" s="2"/>
    </row>
    <row r="6" customFormat="false" ht="35.05" hidden="false" customHeight="false" outlineLevel="0" collapsed="false">
      <c r="A6" s="2" t="s">
        <v>47</v>
      </c>
      <c r="B6" s="2" t="s">
        <v>39</v>
      </c>
      <c r="C6" s="2" t="s">
        <v>48</v>
      </c>
      <c r="D6" s="2" t="s">
        <v>49</v>
      </c>
      <c r="E6" s="2" t="s">
        <v>17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54</v>
      </c>
      <c r="K6" s="2"/>
      <c r="L6" s="2" t="s">
        <v>23</v>
      </c>
      <c r="M6" s="2"/>
    </row>
    <row r="7" customFormat="false" ht="35.05" hidden="false" customHeight="false" outlineLevel="0" collapsed="false">
      <c r="A7" s="2" t="s">
        <v>55</v>
      </c>
      <c r="B7" s="2" t="s">
        <v>39</v>
      </c>
      <c r="C7" s="2" t="s">
        <v>56</v>
      </c>
      <c r="D7" s="2" t="s">
        <v>49</v>
      </c>
      <c r="E7" s="2" t="s">
        <v>17</v>
      </c>
      <c r="F7" s="2" t="s">
        <v>27</v>
      </c>
      <c r="G7" s="2" t="s">
        <v>57</v>
      </c>
      <c r="H7" s="2" t="s">
        <v>58</v>
      </c>
      <c r="I7" s="2" t="s">
        <v>59</v>
      </c>
      <c r="J7" s="2" t="s">
        <v>60</v>
      </c>
      <c r="K7" s="2"/>
      <c r="L7" s="2" t="s">
        <v>23</v>
      </c>
      <c r="M7" s="2"/>
    </row>
    <row r="8" customFormat="false" ht="23.85" hidden="false" customHeight="false" outlineLevel="0" collapsed="false">
      <c r="A8" s="2" t="s">
        <v>61</v>
      </c>
      <c r="B8" s="2" t="s">
        <v>39</v>
      </c>
      <c r="C8" s="2" t="s">
        <v>62</v>
      </c>
      <c r="D8" s="2" t="s">
        <v>49</v>
      </c>
      <c r="E8" s="2" t="s">
        <v>17</v>
      </c>
      <c r="F8" s="2" t="s">
        <v>34</v>
      </c>
      <c r="G8" s="2" t="s">
        <v>63</v>
      </c>
      <c r="H8" s="2" t="s">
        <v>64</v>
      </c>
      <c r="I8" s="2" t="s">
        <v>65</v>
      </c>
      <c r="J8" s="2" t="s">
        <v>66</v>
      </c>
      <c r="K8" s="2"/>
      <c r="L8" s="2" t="s">
        <v>23</v>
      </c>
      <c r="M8" s="2"/>
    </row>
    <row r="9" customFormat="false" ht="35.05" hidden="false" customHeight="false" outlineLevel="0" collapsed="false">
      <c r="A9" s="2" t="s">
        <v>67</v>
      </c>
      <c r="B9" s="2" t="s">
        <v>39</v>
      </c>
      <c r="C9" s="2" t="s">
        <v>68</v>
      </c>
      <c r="D9" s="2" t="s">
        <v>49</v>
      </c>
      <c r="E9" s="2" t="s">
        <v>17</v>
      </c>
      <c r="F9" s="2" t="s">
        <v>34</v>
      </c>
      <c r="G9" s="2" t="s">
        <v>69</v>
      </c>
      <c r="H9" s="2" t="s">
        <v>70</v>
      </c>
      <c r="I9" s="2" t="s">
        <v>71</v>
      </c>
      <c r="J9" s="2" t="s">
        <v>72</v>
      </c>
      <c r="K9" s="2"/>
      <c r="L9" s="2" t="s">
        <v>23</v>
      </c>
      <c r="M9" s="2"/>
    </row>
    <row r="10" customFormat="false" ht="35.05" hidden="false" customHeight="false" outlineLevel="0" collapsed="false">
      <c r="A10" s="2" t="s">
        <v>73</v>
      </c>
      <c r="B10" s="2" t="s">
        <v>39</v>
      </c>
      <c r="C10" s="2" t="s">
        <v>74</v>
      </c>
      <c r="D10" s="2" t="s">
        <v>49</v>
      </c>
      <c r="E10" s="2" t="s">
        <v>17</v>
      </c>
      <c r="F10" s="2" t="s">
        <v>34</v>
      </c>
      <c r="G10" s="2" t="s">
        <v>75</v>
      </c>
      <c r="H10" s="2" t="s">
        <v>76</v>
      </c>
      <c r="I10" s="2" t="s">
        <v>77</v>
      </c>
      <c r="J10" s="2" t="s">
        <v>72</v>
      </c>
      <c r="K10" s="2"/>
      <c r="L10" s="2" t="s">
        <v>23</v>
      </c>
      <c r="M10" s="2"/>
    </row>
    <row r="11" customFormat="false" ht="23.85" hidden="false" customHeight="false" outlineLevel="0" collapsed="false">
      <c r="A11" s="2" t="s">
        <v>78</v>
      </c>
      <c r="B11" s="2" t="s">
        <v>79</v>
      </c>
      <c r="C11" s="2" t="s">
        <v>80</v>
      </c>
      <c r="D11" s="2" t="s">
        <v>81</v>
      </c>
      <c r="E11" s="2" t="s">
        <v>17</v>
      </c>
      <c r="F11" s="2" t="s">
        <v>34</v>
      </c>
      <c r="G11" s="2" t="s">
        <v>82</v>
      </c>
      <c r="H11" s="2" t="s">
        <v>83</v>
      </c>
      <c r="I11" s="2" t="s">
        <v>84</v>
      </c>
      <c r="J11" s="2" t="s">
        <v>85</v>
      </c>
      <c r="K11" s="2"/>
      <c r="L11" s="2" t="s">
        <v>23</v>
      </c>
      <c r="M11" s="2"/>
    </row>
    <row r="12" customFormat="false" ht="35.05" hidden="false" customHeight="false" outlineLevel="0" collapsed="false">
      <c r="A12" s="2" t="s">
        <v>86</v>
      </c>
      <c r="B12" s="2" t="s">
        <v>39</v>
      </c>
      <c r="C12" s="2" t="s">
        <v>87</v>
      </c>
      <c r="D12" s="2" t="s">
        <v>41</v>
      </c>
      <c r="E12" s="2" t="s">
        <v>26</v>
      </c>
      <c r="F12" s="2" t="s">
        <v>50</v>
      </c>
      <c r="G12" s="2" t="s">
        <v>88</v>
      </c>
      <c r="H12" s="2" t="s">
        <v>44</v>
      </c>
      <c r="I12" s="2" t="s">
        <v>89</v>
      </c>
      <c r="J12" s="2" t="s">
        <v>90</v>
      </c>
      <c r="K12" s="2"/>
      <c r="L12" s="2" t="s">
        <v>23</v>
      </c>
      <c r="M12" s="2"/>
    </row>
    <row r="13" customFormat="false" ht="35.05" hidden="false" customHeight="false" outlineLevel="0" collapsed="false">
      <c r="A13" s="2" t="s">
        <v>91</v>
      </c>
      <c r="B13" s="2" t="s">
        <v>39</v>
      </c>
      <c r="C13" s="2" t="s">
        <v>92</v>
      </c>
      <c r="D13" s="2" t="s">
        <v>93</v>
      </c>
      <c r="E13" s="2" t="s">
        <v>26</v>
      </c>
      <c r="F13" s="2" t="s">
        <v>50</v>
      </c>
      <c r="G13" s="2" t="s">
        <v>94</v>
      </c>
      <c r="H13" s="2" t="s">
        <v>95</v>
      </c>
      <c r="I13" s="2" t="s">
        <v>96</v>
      </c>
      <c r="J13" s="2" t="s">
        <v>97</v>
      </c>
      <c r="K13" s="2"/>
      <c r="L13" s="2" t="s">
        <v>23</v>
      </c>
      <c r="M13" s="2"/>
    </row>
    <row r="14" customFormat="false" ht="46.25" hidden="false" customHeight="false" outlineLevel="0" collapsed="false">
      <c r="A14" s="2" t="s">
        <v>98</v>
      </c>
      <c r="B14" s="2" t="s">
        <v>39</v>
      </c>
      <c r="C14" s="2" t="s">
        <v>99</v>
      </c>
      <c r="D14" s="2" t="s">
        <v>49</v>
      </c>
      <c r="E14" s="2" t="s">
        <v>26</v>
      </c>
      <c r="F14" s="2" t="s">
        <v>50</v>
      </c>
      <c r="G14" s="2" t="s">
        <v>100</v>
      </c>
      <c r="H14" s="2" t="s">
        <v>101</v>
      </c>
      <c r="I14" s="2" t="s">
        <v>102</v>
      </c>
      <c r="J14" s="2" t="s">
        <v>103</v>
      </c>
      <c r="K14" s="2"/>
      <c r="L14" s="2" t="s">
        <v>23</v>
      </c>
      <c r="M14" s="2"/>
    </row>
    <row r="15" customFormat="false" ht="35.05" hidden="false" customHeight="false" outlineLevel="0" collapsed="false">
      <c r="A15" s="2" t="s">
        <v>104</v>
      </c>
      <c r="B15" s="2" t="s">
        <v>79</v>
      </c>
      <c r="C15" s="2" t="s">
        <v>105</v>
      </c>
      <c r="D15" s="2" t="s">
        <v>81</v>
      </c>
      <c r="E15" s="2" t="s">
        <v>17</v>
      </c>
      <c r="F15" s="2" t="s">
        <v>34</v>
      </c>
      <c r="G15" s="2" t="s">
        <v>106</v>
      </c>
      <c r="H15" s="2" t="s">
        <v>107</v>
      </c>
      <c r="I15" s="2" t="s">
        <v>108</v>
      </c>
      <c r="J15" s="2" t="s">
        <v>109</v>
      </c>
      <c r="K15" s="2"/>
      <c r="L15" s="2" t="s">
        <v>23</v>
      </c>
      <c r="M15" s="2"/>
    </row>
    <row r="16" customFormat="false" ht="35.05" hidden="false" customHeight="false" outlineLevel="0" collapsed="false">
      <c r="A16" s="2" t="s">
        <v>110</v>
      </c>
      <c r="B16" s="2" t="s">
        <v>79</v>
      </c>
      <c r="C16" s="2" t="s">
        <v>111</v>
      </c>
      <c r="D16" s="2" t="s">
        <v>81</v>
      </c>
      <c r="E16" s="2" t="s">
        <v>17</v>
      </c>
      <c r="F16" s="2" t="s">
        <v>34</v>
      </c>
      <c r="G16" s="2" t="s">
        <v>112</v>
      </c>
      <c r="H16" s="2" t="s">
        <v>113</v>
      </c>
      <c r="I16" s="2" t="s">
        <v>114</v>
      </c>
      <c r="J16" s="2" t="s">
        <v>115</v>
      </c>
      <c r="K16" s="2"/>
      <c r="L16" s="2" t="s">
        <v>23</v>
      </c>
      <c r="M16" s="2"/>
    </row>
    <row r="17" customFormat="false" ht="35.05" hidden="false" customHeight="false" outlineLevel="0" collapsed="false">
      <c r="A17" s="2" t="s">
        <v>116</v>
      </c>
      <c r="B17" s="2" t="s">
        <v>117</v>
      </c>
      <c r="C17" s="2" t="s">
        <v>118</v>
      </c>
      <c r="D17" s="2" t="s">
        <v>93</v>
      </c>
      <c r="E17" s="2" t="s">
        <v>33</v>
      </c>
      <c r="F17" s="2" t="s">
        <v>34</v>
      </c>
      <c r="G17" s="2" t="s">
        <v>119</v>
      </c>
      <c r="H17" s="2" t="s">
        <v>120</v>
      </c>
      <c r="I17" s="2" t="s">
        <v>121</v>
      </c>
      <c r="J17" s="2" t="s">
        <v>122</v>
      </c>
      <c r="K17" s="2"/>
      <c r="L17" s="2" t="s">
        <v>23</v>
      </c>
      <c r="M17" s="2"/>
    </row>
    <row r="18" customFormat="false" ht="35.05" hidden="false" customHeight="false" outlineLevel="0" collapsed="false">
      <c r="A18" s="2" t="s">
        <v>123</v>
      </c>
      <c r="B18" s="2" t="s">
        <v>39</v>
      </c>
      <c r="C18" s="2" t="s">
        <v>124</v>
      </c>
      <c r="D18" s="2" t="s">
        <v>16</v>
      </c>
      <c r="E18" s="2" t="s">
        <v>26</v>
      </c>
      <c r="F18" s="2" t="s">
        <v>34</v>
      </c>
      <c r="G18" s="2" t="s">
        <v>125</v>
      </c>
      <c r="H18" s="2" t="s">
        <v>27</v>
      </c>
      <c r="I18" s="2" t="s">
        <v>126</v>
      </c>
      <c r="J18" s="2" t="s">
        <v>127</v>
      </c>
      <c r="K18" s="2"/>
      <c r="L18" s="2" t="s">
        <v>23</v>
      </c>
      <c r="M18" s="2"/>
    </row>
    <row r="19" customFormat="false" ht="57.45" hidden="false" customHeight="false" outlineLevel="0" collapsed="false">
      <c r="A19" s="2" t="s">
        <v>128</v>
      </c>
      <c r="B19" s="2" t="s">
        <v>39</v>
      </c>
      <c r="C19" s="2" t="s">
        <v>129</v>
      </c>
      <c r="D19" s="2" t="s">
        <v>41</v>
      </c>
      <c r="E19" s="2" t="s">
        <v>26</v>
      </c>
      <c r="F19" s="2" t="s">
        <v>50</v>
      </c>
      <c r="G19" s="2" t="s">
        <v>130</v>
      </c>
      <c r="H19" s="2" t="s">
        <v>44</v>
      </c>
      <c r="I19" s="2" t="s">
        <v>131</v>
      </c>
      <c r="J19" s="2" t="s">
        <v>132</v>
      </c>
      <c r="K19" s="2"/>
      <c r="L19" s="2" t="s">
        <v>23</v>
      </c>
      <c r="M19" s="2"/>
    </row>
    <row r="20" customFormat="false" ht="23.85" hidden="false" customHeight="false" outlineLevel="0" collapsed="false">
      <c r="A20" s="2" t="s">
        <v>133</v>
      </c>
      <c r="B20" s="2" t="s">
        <v>134</v>
      </c>
      <c r="C20" s="2" t="s">
        <v>135</v>
      </c>
      <c r="D20" s="2" t="s">
        <v>136</v>
      </c>
      <c r="E20" s="2" t="s">
        <v>17</v>
      </c>
      <c r="F20" s="2" t="s">
        <v>34</v>
      </c>
      <c r="G20" s="2" t="s">
        <v>137</v>
      </c>
      <c r="H20" s="2" t="s">
        <v>27</v>
      </c>
      <c r="I20" s="2" t="s">
        <v>138</v>
      </c>
      <c r="J20" s="2" t="s">
        <v>139</v>
      </c>
      <c r="K20" s="2"/>
      <c r="L20" s="2" t="s">
        <v>23</v>
      </c>
      <c r="M20" s="2"/>
    </row>
    <row r="21" customFormat="false" ht="23.85" hidden="false" customHeight="false" outlineLevel="0" collapsed="false">
      <c r="A21" s="2" t="s">
        <v>140</v>
      </c>
      <c r="B21" s="2" t="s">
        <v>134</v>
      </c>
      <c r="C21" s="2" t="s">
        <v>141</v>
      </c>
      <c r="D21" s="2" t="s">
        <v>136</v>
      </c>
      <c r="E21" s="2" t="s">
        <v>17</v>
      </c>
      <c r="F21" s="2" t="s">
        <v>34</v>
      </c>
      <c r="G21" s="2" t="s">
        <v>142</v>
      </c>
      <c r="H21" s="2" t="s">
        <v>27</v>
      </c>
      <c r="I21" s="2" t="s">
        <v>143</v>
      </c>
      <c r="J21" s="2" t="s">
        <v>144</v>
      </c>
      <c r="K21" s="2"/>
      <c r="L21" s="2" t="s">
        <v>23</v>
      </c>
      <c r="M21" s="2"/>
    </row>
    <row r="22" customFormat="false" ht="23.85" hidden="false" customHeight="false" outlineLevel="0" collapsed="false">
      <c r="A22" s="2" t="s">
        <v>145</v>
      </c>
      <c r="B22" s="2" t="s">
        <v>134</v>
      </c>
      <c r="C22" s="2" t="s">
        <v>146</v>
      </c>
      <c r="D22" s="2" t="s">
        <v>136</v>
      </c>
      <c r="E22" s="2" t="s">
        <v>33</v>
      </c>
      <c r="F22" s="2" t="s">
        <v>34</v>
      </c>
      <c r="G22" s="2" t="s">
        <v>147</v>
      </c>
      <c r="H22" s="2" t="s">
        <v>27</v>
      </c>
      <c r="I22" s="2" t="s">
        <v>148</v>
      </c>
      <c r="J22" s="2" t="s">
        <v>149</v>
      </c>
      <c r="K22" s="2"/>
      <c r="L22" s="2" t="s">
        <v>23</v>
      </c>
      <c r="M22" s="2"/>
    </row>
    <row r="23" customFormat="false" ht="35.05" hidden="false" customHeight="false" outlineLevel="0" collapsed="false">
      <c r="A23" s="2" t="s">
        <v>150</v>
      </c>
      <c r="B23" s="2" t="s">
        <v>14</v>
      </c>
      <c r="C23" s="2" t="s">
        <v>151</v>
      </c>
      <c r="D23" s="2" t="s">
        <v>16</v>
      </c>
      <c r="E23" s="2" t="s">
        <v>33</v>
      </c>
      <c r="F23" s="2" t="s">
        <v>34</v>
      </c>
      <c r="G23" s="2" t="s">
        <v>152</v>
      </c>
      <c r="H23" s="2" t="s">
        <v>27</v>
      </c>
      <c r="I23" s="2" t="s">
        <v>153</v>
      </c>
      <c r="J23" s="2" t="s">
        <v>154</v>
      </c>
      <c r="K23" s="2"/>
      <c r="L23" s="2" t="s">
        <v>23</v>
      </c>
      <c r="M23" s="2"/>
    </row>
  </sheetData>
  <autoFilter ref="A1:M23"/>
  <conditionalFormatting sqref="L2:L23">
    <cfRule type="cellIs" priority="2" operator="equal" aboveAverage="0" equalAverage="0" bottom="0" percent="0" rank="0" text="" dxfId="3">
      <formula>"Pass"</formula>
    </cfRule>
    <cfRule type="cellIs" priority="3" operator="equal" aboveAverage="0" equalAverage="0" bottom="0" percent="0" rank="0" text="" dxfId="4">
      <formula>"Fail"</formula>
    </cfRule>
    <cfRule type="cellIs" priority="4" operator="equal" aboveAverage="0" equalAverage="0" bottom="0" percent="0" rank="0" text="" dxfId="5">
      <formula>"Blocked"</formula>
    </cfRule>
  </conditionalFormatting>
  <dataValidations count="1">
    <dataValidation allowBlank="true" errorStyle="stop" operator="between" showDropDown="false" showErrorMessage="false" showInputMessage="false" sqref="L2:L23" type="list">
      <formula1>"Not Run,Pass,Fail,Blocked"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8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3" t="s">
        <v>155</v>
      </c>
      <c r="B1" s="3" t="s">
        <v>156</v>
      </c>
      <c r="C1" s="3" t="s">
        <v>157</v>
      </c>
    </row>
    <row r="2" customFormat="false" ht="15" hidden="false" customHeight="false" outlineLevel="0" collapsed="false">
      <c r="A2" s="4" t="s">
        <v>158</v>
      </c>
      <c r="B2" s="4" t="s">
        <v>159</v>
      </c>
      <c r="C2" s="4" t="s">
        <v>160</v>
      </c>
    </row>
    <row r="3" customFormat="false" ht="15" hidden="false" customHeight="false" outlineLevel="0" collapsed="false">
      <c r="A3" s="4" t="s">
        <v>161</v>
      </c>
      <c r="B3" s="5" t="s">
        <v>162</v>
      </c>
      <c r="C3" s="4" t="s">
        <v>163</v>
      </c>
    </row>
    <row r="4" customFormat="false" ht="15" hidden="false" customHeight="false" outlineLevel="0" collapsed="false">
      <c r="A4" s="4" t="s">
        <v>164</v>
      </c>
      <c r="B4" s="5" t="s">
        <v>165</v>
      </c>
      <c r="C4" s="4" t="s">
        <v>166</v>
      </c>
    </row>
    <row r="5" customFormat="false" ht="15" hidden="false" customHeight="false" outlineLevel="0" collapsed="false">
      <c r="A5" s="4" t="s">
        <v>167</v>
      </c>
      <c r="B5" s="4" t="s">
        <v>168</v>
      </c>
      <c r="C5" s="4" t="s">
        <v>169</v>
      </c>
    </row>
    <row r="6" customFormat="false" ht="15" hidden="false" customHeight="false" outlineLevel="0" collapsed="false">
      <c r="A6" s="4" t="s">
        <v>170</v>
      </c>
      <c r="B6" s="4" t="s">
        <v>171</v>
      </c>
      <c r="C6" s="4" t="s">
        <v>172</v>
      </c>
    </row>
    <row r="7" customFormat="false" ht="15" hidden="false" customHeight="false" outlineLevel="0" collapsed="false">
      <c r="A7" s="4" t="s">
        <v>173</v>
      </c>
      <c r="B7" s="4" t="s">
        <v>174</v>
      </c>
      <c r="C7" s="4" t="s">
        <v>175</v>
      </c>
    </row>
    <row r="8" customFormat="false" ht="15" hidden="false" customHeight="false" outlineLevel="0" collapsed="false">
      <c r="A8" s="4" t="s">
        <v>176</v>
      </c>
      <c r="B8" s="4" t="s">
        <v>177</v>
      </c>
      <c r="C8" s="4" t="s">
        <v>178</v>
      </c>
    </row>
    <row r="9" customFormat="false" ht="15" hidden="false" customHeight="false" outlineLevel="0" collapsed="false">
      <c r="A9" s="4" t="s">
        <v>179</v>
      </c>
      <c r="B9" s="4" t="s">
        <v>180</v>
      </c>
      <c r="C9" s="4" t="s"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6" t="s">
        <v>182</v>
      </c>
      <c r="B1" s="6" t="s">
        <v>156</v>
      </c>
    </row>
    <row r="2" customFormat="false" ht="15" hidden="false" customHeight="false" outlineLevel="0" collapsed="false">
      <c r="A2" s="7" t="s">
        <v>183</v>
      </c>
      <c r="B2" s="7" t="n">
        <f aca="false">COUNTA('Test Cases'!A2:A23)</f>
        <v>22</v>
      </c>
    </row>
    <row r="3" customFormat="false" ht="15" hidden="false" customHeight="false" outlineLevel="0" collapsed="false">
      <c r="A3" s="7" t="s">
        <v>184</v>
      </c>
      <c r="B3" s="7" t="n">
        <f aca="false">COUNTIF('Test Cases'!L2:L23,"Pass")</f>
        <v>0</v>
      </c>
    </row>
    <row r="4" customFormat="false" ht="15" hidden="false" customHeight="false" outlineLevel="0" collapsed="false">
      <c r="A4" s="7" t="s">
        <v>185</v>
      </c>
      <c r="B4" s="7" t="n">
        <f aca="false">COUNTIF('Test Cases'!L2:L23,"Fail")</f>
        <v>0</v>
      </c>
    </row>
    <row r="5" customFormat="false" ht="15" hidden="false" customHeight="false" outlineLevel="0" collapsed="false">
      <c r="A5" s="7" t="s">
        <v>186</v>
      </c>
      <c r="B5" s="7" t="n">
        <f aca="false">COUNTIF('Test Cases'!L2:L23,"Blocked")</f>
        <v>0</v>
      </c>
    </row>
    <row r="6" customFormat="false" ht="15" hidden="false" customHeight="false" outlineLevel="0" collapsed="false">
      <c r="A6" s="7" t="s">
        <v>23</v>
      </c>
      <c r="B6" s="7" t="n">
        <f aca="false">COUNTIF('Test Cases'!L2:L23,"Not Run")</f>
        <v>22</v>
      </c>
    </row>
    <row r="7" customFormat="false" ht="15" hidden="false" customHeight="false" outlineLevel="0" collapsed="false">
      <c r="A7" s="7" t="s">
        <v>187</v>
      </c>
      <c r="B7" s="8" t="n">
        <f aca="false">IF(B2=0,0,B3/B2)</f>
        <v>0</v>
      </c>
    </row>
    <row r="8" customFormat="false" ht="15" hidden="false" customHeight="false" outlineLevel="0" collapsed="false">
      <c r="A8" s="7"/>
      <c r="B8" s="7"/>
    </row>
    <row r="9" customFormat="false" ht="15" hidden="false" customHeight="false" outlineLevel="0" collapsed="false">
      <c r="A9" s="7" t="s">
        <v>188</v>
      </c>
      <c r="B9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2026-10-08T08:07:33Z</dcterms:created>
  <dc:creator>openpyxl</dc:creator>
  <dc:description/>
  <dc:language>en-US</dc:language>
  <cp:lastModifiedBy/>
  <dcterms:modified xsi:type="dcterms:W3CDTF">2026-10-08T08:07:33Z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